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nda\Downloads\"/>
    </mc:Choice>
  </mc:AlternateContent>
  <xr:revisionPtr revIDLastSave="0" documentId="13_ncr:1_{DEA18676-16D4-4238-8EA5-9AAEBFB6548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2026" sheetId="2" r:id="rId1"/>
    <sheet name="2025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" i="2" l="1"/>
  <c r="K10" i="2"/>
  <c r="N1" i="2"/>
  <c r="L1" i="1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6" i="2" s="1"/>
  <c r="O8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I8" i="2"/>
  <c r="E8" i="2"/>
  <c r="F8" i="2" s="1"/>
  <c r="E7" i="2"/>
  <c r="F7" i="2" s="1"/>
  <c r="E6" i="2"/>
  <c r="F6" i="2" s="1"/>
  <c r="E5" i="2"/>
  <c r="F5" i="2" s="1"/>
  <c r="H4" i="2" a="1"/>
  <c r="E4" i="2"/>
  <c r="F4" i="2" s="1"/>
  <c r="E3" i="2"/>
  <c r="F3" i="2" s="1"/>
  <c r="E2" i="2"/>
  <c r="F2" i="2" s="1"/>
  <c r="K8" i="1"/>
  <c r="I8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L8" i="1" s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H4" i="1" a="1"/>
  <c r="H4" i="1" s="1"/>
  <c r="I4" i="1" s="1"/>
  <c r="M8" i="2" l="1"/>
  <c r="O5" i="2"/>
  <c r="I6" i="2"/>
  <c r="H4" i="2"/>
  <c r="M6" i="2"/>
  <c r="O6" i="2"/>
  <c r="I7" i="2"/>
  <c r="M7" i="2"/>
  <c r="I5" i="2"/>
  <c r="O7" i="2"/>
  <c r="M5" i="2"/>
  <c r="I7" i="1"/>
  <c r="I5" i="1"/>
  <c r="K4" i="1"/>
  <c r="L4" i="1"/>
  <c r="I6" i="1"/>
  <c r="K7" i="1"/>
  <c r="K6" i="1"/>
  <c r="K5" i="1"/>
  <c r="L7" i="1"/>
  <c r="L5" i="1"/>
  <c r="L6" i="1"/>
  <c r="I10" i="1" l="1"/>
  <c r="L10" i="1"/>
  <c r="K10" i="1"/>
  <c r="O4" i="2"/>
  <c r="O10" i="2" s="1"/>
  <c r="M4" i="2"/>
  <c r="M10" i="2" s="1"/>
  <c r="I4" i="2"/>
  <c r="I1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<sst xmlns="http://schemas.openxmlformats.org/spreadsheetml/2006/main" count="72" uniqueCount="31">
  <si>
    <t>Date</t>
  </si>
  <si>
    <t>Catégorie</t>
  </si>
  <si>
    <t>Quantité</t>
  </si>
  <si>
    <t>Prix unitaire HT</t>
  </si>
  <si>
    <t>Montant HT</t>
  </si>
  <si>
    <t>Montant TTC</t>
  </si>
  <si>
    <t>Taux TVA</t>
  </si>
  <si>
    <t>Chaussures</t>
  </si>
  <si>
    <t>Hauts</t>
  </si>
  <si>
    <t>Totaux</t>
  </si>
  <si>
    <t>Quantité vendue</t>
  </si>
  <si>
    <t>Montants HT</t>
  </si>
  <si>
    <t>Montants TTC</t>
  </si>
  <si>
    <t>Manteaux</t>
  </si>
  <si>
    <t>Pantalons</t>
  </si>
  <si>
    <t>Accessoires</t>
  </si>
  <si>
    <t>Date limite</t>
  </si>
  <si>
    <t>TOTAUX</t>
  </si>
  <si>
    <t>dcg1</t>
  </si>
  <si>
    <t>Quantités 2025</t>
  </si>
  <si>
    <t>Montants HT 2025</t>
  </si>
  <si>
    <t>Prime 1</t>
  </si>
  <si>
    <t>Prime 2</t>
  </si>
  <si>
    <t>Prime 3</t>
  </si>
  <si>
    <t>Règles Primes</t>
  </si>
  <si>
    <t>Prime 1 :</t>
  </si>
  <si>
    <t>Si le CA a progressé entre 2025 et 2026, 5% du CA réparti entre les commerciaux</t>
  </si>
  <si>
    <t>Prime 2 :</t>
  </si>
  <si>
    <t>Si le CA a progressé entre 2025 et 2026, 50% du CA gagné entre 2025 et 2026 réparti entre les commerciaux</t>
  </si>
  <si>
    <t>Prime 3 :</t>
  </si>
  <si>
    <t>Si une catégorie a vendu plus de quantité qu'en 2025, 5% du CA de cette catégorie réparti entre les commerciaux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</si>
</sst>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0\ %"/>
    <numFmt numFmtId="165" formatCode="[$-40C]d\-mmm;@"/>
    <numFmt numFmtId="166" formatCode="#,##0.00\ &quot;€&quot;"/>
    <numFmt numFmtId="167" formatCode="#,##0_ ;[Red]\-#,##0\ "/>
  </numFmts>
  <fonts count="1" x14ac:knownFonts="1">
    <font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Border="1" applyProtection="1">
      <protection locked="0"/>
    </xf>
    <xf numFmtId="8" fontId="0" fillId="0" borderId="0" xfId="0" applyNumberFormat="1" applyBorder="1" applyProtection="1">
      <protection locked="0"/>
    </xf>
    <xf numFmtId="0" fontId="0" fillId="0" borderId="3" xfId="0" applyBorder="1" applyProtection="1">
      <protection locked="0"/>
    </xf>
    <xf numFmtId="8" fontId="0" fillId="0" borderId="3" xfId="0" applyNumberFormat="1" applyBorder="1" applyProtection="1">
      <protection locked="0"/>
    </xf>
    <xf numFmtId="0" fontId="0" fillId="0" borderId="7" xfId="0" applyBorder="1" applyProtection="1">
      <protection locked="0"/>
    </xf>
    <xf numFmtId="8" fontId="0" fillId="0" borderId="7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4" xfId="0" applyBorder="1"/>
    <xf numFmtId="0" fontId="0" fillId="2" borderId="1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8" fontId="0" fillId="0" borderId="2" xfId="0" applyNumberFormat="1" applyBorder="1"/>
    <xf numFmtId="8" fontId="0" fillId="0" borderId="4" xfId="0" applyNumberFormat="1" applyBorder="1"/>
    <xf numFmtId="8" fontId="0" fillId="0" borderId="6" xfId="0" applyNumberFormat="1" applyBorder="1"/>
    <xf numFmtId="166" fontId="0" fillId="0" borderId="10" xfId="0" applyNumberFormat="1" applyBorder="1"/>
    <xf numFmtId="166" fontId="0" fillId="0" borderId="19" xfId="0" applyNumberFormat="1" applyBorder="1"/>
    <xf numFmtId="166" fontId="0" fillId="0" borderId="20" xfId="0" applyNumberFormat="1" applyBorder="1"/>
    <xf numFmtId="166" fontId="0" fillId="0" borderId="5" xfId="0" applyNumberFormat="1" applyBorder="1"/>
    <xf numFmtId="0" fontId="0" fillId="0" borderId="21" xfId="0" applyBorder="1"/>
    <xf numFmtId="0" fontId="0" fillId="0" borderId="1" xfId="0" applyBorder="1"/>
    <xf numFmtId="0" fontId="0" fillId="0" borderId="23" xfId="0" applyBorder="1"/>
    <xf numFmtId="166" fontId="0" fillId="0" borderId="15" xfId="0" applyNumberFormat="1" applyBorder="1"/>
    <xf numFmtId="166" fontId="0" fillId="0" borderId="14" xfId="0" applyNumberFormat="1" applyBorder="1"/>
    <xf numFmtId="166" fontId="0" fillId="0" borderId="23" xfId="0" applyNumberFormat="1" applyBorder="1"/>
    <xf numFmtId="0" fontId="0" fillId="0" borderId="0" xfId="0" applyFont="1" applyBorder="1" applyAlignment="1">
      <alignment horizontal="center"/>
    </xf>
    <xf numFmtId="167" fontId="0" fillId="0" borderId="22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5" xfId="0" applyBorder="1" applyAlignment="1">
      <alignment horizontal="center"/>
    </xf>
    <xf numFmtId="167" fontId="0" fillId="0" borderId="24" xfId="0" applyNumberFormat="1" applyBorder="1" applyAlignment="1">
      <alignment horizontal="center"/>
    </xf>
    <xf numFmtId="167" fontId="0" fillId="0" borderId="17" xfId="0" applyNumberForma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/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8" fontId="0" fillId="0" borderId="2" xfId="0" applyNumberFormat="1" applyBorder="1" applyProtection="1"/>
    <xf numFmtId="166" fontId="0" fillId="0" borderId="10" xfId="0" applyNumberFormat="1" applyBorder="1" applyProtection="1"/>
    <xf numFmtId="8" fontId="0" fillId="0" borderId="4" xfId="0" applyNumberFormat="1" applyBorder="1" applyProtection="1"/>
    <xf numFmtId="166" fontId="0" fillId="0" borderId="19" xfId="0" applyNumberFormat="1" applyBorder="1" applyProtection="1"/>
    <xf numFmtId="8" fontId="0" fillId="0" borderId="6" xfId="0" applyNumberFormat="1" applyBorder="1" applyProtection="1"/>
    <xf numFmtId="166" fontId="0" fillId="0" borderId="20" xfId="0" applyNumberFormat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3E30-3DA0-490E-8BF0-5B54EB0938FC}">
  <dimension ref="A1:P30"/>
  <sheetViews>
    <sheetView tabSelected="1" zoomScaleNormal="100" workbookViewId="0">
      <pane ySplit="1" topLeftCell="A2" activePane="bottomLeft" state="frozen"/>
      <selection pane="bottomLeft" activeCell="H15" sqref="H15"/>
    </sheetView>
  </sheetViews>
  <sheetFormatPr baseColWidth="10" defaultColWidth="8.5546875" defaultRowHeight="14.4" x14ac:dyDescent="0.3"/>
  <cols>
    <col min="1" max="1" width="11.88671875" customWidth="1"/>
    <col min="2" max="2" width="11.44140625" customWidth="1"/>
    <col min="4" max="4" width="14.109375" customWidth="1"/>
    <col min="5" max="5" width="11.44140625" customWidth="1"/>
    <col min="6" max="6" width="15.44140625" customWidth="1"/>
    <col min="8" max="8" width="13" customWidth="1"/>
    <col min="13" max="13" width="13.6640625" customWidth="1"/>
    <col min="14" max="14" width="15.88671875" customWidth="1"/>
    <col min="15" max="15" width="13.33203125" customWidth="1"/>
    <col min="17" max="17" width="10.44140625" bestFit="1" customWidth="1"/>
  </cols>
  <sheetData>
    <row r="1" spans="1:16" ht="20.25" customHeight="1" thickBot="1" x14ac:dyDescent="0.35">
      <c r="A1" s="16" t="s">
        <v>0</v>
      </c>
      <c r="B1" s="17" t="s">
        <v>1</v>
      </c>
      <c r="C1" s="18" t="s">
        <v>2</v>
      </c>
      <c r="D1" s="19" t="s">
        <v>3</v>
      </c>
      <c r="E1" s="20" t="s">
        <v>4</v>
      </c>
      <c r="F1" s="21" t="s">
        <v>5</v>
      </c>
      <c r="H1" t="s">
        <v>6</v>
      </c>
      <c r="I1" s="1">
        <v>0.2</v>
      </c>
      <c r="M1" t="s">
        <v>16</v>
      </c>
      <c r="N1" s="2">
        <f ca="1">MIN(TODAY()+1,"30/9/2026")</f>
        <v>46292</v>
      </c>
      <c r="O1" s="2"/>
      <c r="P1" s="2" t="s">
        <v>18</v>
      </c>
    </row>
    <row r="2" spans="1:16" ht="15" thickBot="1" x14ac:dyDescent="0.35">
      <c r="A2" s="9">
        <v>46266</v>
      </c>
      <c r="B2" s="5" t="s">
        <v>7</v>
      </c>
      <c r="C2" s="12">
        <v>10</v>
      </c>
      <c r="D2" s="6">
        <v>20</v>
      </c>
      <c r="E2" s="22">
        <f>IF(OR(ISBLANK(C2),ISBLANK(D2)), "", C2*D2)</f>
        <v>200</v>
      </c>
      <c r="F2" s="25">
        <f>IF(OR(ISBLANK(C2),ISBLANK(D2)), "", E2+E2*$I$1)</f>
        <v>240</v>
      </c>
    </row>
    <row r="3" spans="1:16" ht="15" thickBot="1" x14ac:dyDescent="0.35">
      <c r="A3" s="10">
        <v>46268</v>
      </c>
      <c r="B3" s="3" t="s">
        <v>8</v>
      </c>
      <c r="C3" s="13">
        <v>13</v>
      </c>
      <c r="D3" s="4">
        <v>10</v>
      </c>
      <c r="E3" s="23">
        <f t="shared" ref="E3:E30" si="0">IF(OR(ISBLANK(C3),ISBLANK(D3)), "", C3*D3)</f>
        <v>130</v>
      </c>
      <c r="F3" s="26">
        <f t="shared" ref="F3:F30" si="1">IF(OR(ISBLANK(C3),ISBLANK(D3)), "", E3+E3*$I$1)</f>
        <v>156</v>
      </c>
      <c r="H3" s="30" t="s">
        <v>9</v>
      </c>
      <c r="I3" s="39" t="s">
        <v>10</v>
      </c>
      <c r="J3" s="40"/>
      <c r="K3" s="38" t="s">
        <v>19</v>
      </c>
      <c r="L3" s="40"/>
      <c r="M3" s="15" t="s">
        <v>11</v>
      </c>
      <c r="N3" s="15" t="s">
        <v>20</v>
      </c>
      <c r="O3" s="31" t="s">
        <v>12</v>
      </c>
    </row>
    <row r="4" spans="1:16" x14ac:dyDescent="0.3">
      <c r="A4" s="10">
        <v>46270</v>
      </c>
      <c r="B4" s="3" t="s">
        <v>7</v>
      </c>
      <c r="C4" s="13">
        <v>21</v>
      </c>
      <c r="D4" s="4">
        <v>30</v>
      </c>
      <c r="E4" s="23">
        <f t="shared" si="0"/>
        <v>630</v>
      </c>
      <c r="F4" s="26">
        <f t="shared" si="1"/>
        <v>756</v>
      </c>
      <c r="H4" s="29" t="str" cm="1">
        <f t="array" ref="H4:H7">_xlfn.UNIQUE(B2:B11)</f>
        <v>Chaussures</v>
      </c>
      <c r="I4" s="41">
        <f>SUMIF(B$2:B$30, H4, C$2:C$30)</f>
        <v>84</v>
      </c>
      <c r="J4" s="42"/>
      <c r="K4" s="47"/>
      <c r="L4" s="48"/>
      <c r="M4" s="32">
        <f>SUMIF($B$2:$B$30,$H4,E$2:E$30)</f>
        <v>2226</v>
      </c>
      <c r="N4" s="32"/>
      <c r="O4" s="28">
        <f>SUMIF($B$2:$B$30,$H4,F$2:F$30)</f>
        <v>2671.2</v>
      </c>
    </row>
    <row r="5" spans="1:16" x14ac:dyDescent="0.3">
      <c r="A5" s="10">
        <v>46273</v>
      </c>
      <c r="B5" s="3" t="s">
        <v>13</v>
      </c>
      <c r="C5" s="13">
        <v>44</v>
      </c>
      <c r="D5" s="4">
        <v>50</v>
      </c>
      <c r="E5" s="23">
        <f t="shared" si="0"/>
        <v>2200</v>
      </c>
      <c r="F5" s="26">
        <f t="shared" si="1"/>
        <v>2640</v>
      </c>
      <c r="H5" s="29" t="str">
        <v>Hauts</v>
      </c>
      <c r="I5" s="41">
        <f t="shared" ref="I5:I8" si="2">SUMIF(B$2:B$30, H5, C$2:C$30)</f>
        <v>68</v>
      </c>
      <c r="J5" s="42"/>
      <c r="K5" s="35"/>
      <c r="L5" s="42"/>
      <c r="M5" s="32">
        <f t="shared" ref="M5:M8" si="3">SUMIF($B$2:$B$30,$H5,E$2:E$30)</f>
        <v>994</v>
      </c>
      <c r="N5" s="32"/>
      <c r="O5" s="28">
        <f>SUMIF($B$2:$B$30,$H5,F$2:F$30)</f>
        <v>1192.8</v>
      </c>
    </row>
    <row r="6" spans="1:16" x14ac:dyDescent="0.3">
      <c r="A6" s="10">
        <v>46276</v>
      </c>
      <c r="B6" s="3" t="s">
        <v>14</v>
      </c>
      <c r="C6" s="13">
        <v>26</v>
      </c>
      <c r="D6" s="4">
        <v>15</v>
      </c>
      <c r="E6" s="23">
        <f t="shared" si="0"/>
        <v>390</v>
      </c>
      <c r="F6" s="26">
        <f t="shared" si="1"/>
        <v>468</v>
      </c>
      <c r="H6" s="29" t="str">
        <v>Manteaux</v>
      </c>
      <c r="I6" s="41">
        <f>SUMIF(B$2:B$30, H6, C$2:C$30)</f>
        <v>109</v>
      </c>
      <c r="J6" s="42"/>
      <c r="K6" s="35"/>
      <c r="L6" s="42"/>
      <c r="M6" s="32">
        <f t="shared" si="3"/>
        <v>4115</v>
      </c>
      <c r="N6" s="32"/>
      <c r="O6" s="28">
        <f>SUMIF($B$2:$B$30,$H6,F$2:F$30)</f>
        <v>4938</v>
      </c>
    </row>
    <row r="7" spans="1:16" x14ac:dyDescent="0.3">
      <c r="A7" s="10">
        <v>46280</v>
      </c>
      <c r="B7" s="3" t="s">
        <v>13</v>
      </c>
      <c r="C7" s="13">
        <v>25</v>
      </c>
      <c r="D7" s="4">
        <v>25</v>
      </c>
      <c r="E7" s="23">
        <f t="shared" si="0"/>
        <v>625</v>
      </c>
      <c r="F7" s="26">
        <f t="shared" si="1"/>
        <v>750</v>
      </c>
      <c r="H7" s="29" t="str">
        <v>Pantalons</v>
      </c>
      <c r="I7" s="41">
        <f t="shared" si="2"/>
        <v>69</v>
      </c>
      <c r="J7" s="42"/>
      <c r="K7" s="35"/>
      <c r="L7" s="42"/>
      <c r="M7" s="32">
        <f t="shared" si="3"/>
        <v>2755</v>
      </c>
      <c r="N7" s="32"/>
      <c r="O7" s="28">
        <f>SUMIF($B$2:$B$30,$H7,F$2:F$30)</f>
        <v>3306</v>
      </c>
    </row>
    <row r="8" spans="1:16" x14ac:dyDescent="0.3">
      <c r="A8" s="10">
        <v>46286</v>
      </c>
      <c r="B8" s="3" t="s">
        <v>7</v>
      </c>
      <c r="C8" s="13">
        <v>17</v>
      </c>
      <c r="D8" s="4">
        <v>40</v>
      </c>
      <c r="E8" s="23">
        <f t="shared" si="0"/>
        <v>680</v>
      </c>
      <c r="F8" s="26">
        <f t="shared" si="1"/>
        <v>816</v>
      </c>
      <c r="H8" s="29" t="s">
        <v>15</v>
      </c>
      <c r="I8" s="41">
        <f t="shared" si="2"/>
        <v>10</v>
      </c>
      <c r="J8" s="42"/>
      <c r="K8" s="35"/>
      <c r="L8" s="42"/>
      <c r="M8" s="32">
        <f t="shared" si="3"/>
        <v>150</v>
      </c>
      <c r="N8" s="32"/>
      <c r="O8" s="28">
        <f>SUMIF($B$2:$B$30,$H8,F$2:F$30)</f>
        <v>180</v>
      </c>
    </row>
    <row r="9" spans="1:16" ht="15" thickBot="1" x14ac:dyDescent="0.35">
      <c r="A9" s="10">
        <v>46289</v>
      </c>
      <c r="B9" s="3" t="s">
        <v>7</v>
      </c>
      <c r="C9" s="13">
        <v>13</v>
      </c>
      <c r="D9" s="4">
        <v>25</v>
      </c>
      <c r="E9" s="23">
        <f t="shared" si="0"/>
        <v>325</v>
      </c>
      <c r="F9" s="26">
        <f t="shared" si="1"/>
        <v>390</v>
      </c>
      <c r="H9" s="29"/>
      <c r="I9" s="43"/>
      <c r="J9" s="44"/>
      <c r="K9" s="49"/>
      <c r="L9" s="50"/>
      <c r="M9" s="32"/>
      <c r="N9" s="32"/>
      <c r="O9" s="28"/>
    </row>
    <row r="10" spans="1:16" ht="15" thickBot="1" x14ac:dyDescent="0.35">
      <c r="A10" s="10">
        <v>46295</v>
      </c>
      <c r="B10" s="3" t="s">
        <v>8</v>
      </c>
      <c r="C10" s="13">
        <v>42</v>
      </c>
      <c r="D10" s="4">
        <v>15</v>
      </c>
      <c r="E10" s="23">
        <f t="shared" si="0"/>
        <v>630</v>
      </c>
      <c r="F10" s="26">
        <f t="shared" si="1"/>
        <v>756</v>
      </c>
      <c r="H10" s="30" t="s">
        <v>17</v>
      </c>
      <c r="I10" s="45">
        <f>SUM(I4:J8)</f>
        <v>340</v>
      </c>
      <c r="J10" s="46"/>
      <c r="K10" s="36">
        <f>SUM(K4:L8)</f>
        <v>0</v>
      </c>
      <c r="L10" s="46"/>
      <c r="M10" s="33">
        <f>SUM(M4:M8)</f>
        <v>10240</v>
      </c>
      <c r="N10" s="33">
        <f>SUM(N4:N8)</f>
        <v>0</v>
      </c>
      <c r="O10" s="34">
        <f>SUM(O4:O8)</f>
        <v>12288</v>
      </c>
    </row>
    <row r="11" spans="1:16" ht="15" thickBot="1" x14ac:dyDescent="0.35">
      <c r="A11" s="10">
        <v>46295</v>
      </c>
      <c r="B11" s="3" t="s">
        <v>13</v>
      </c>
      <c r="C11" s="13">
        <v>18</v>
      </c>
      <c r="D11" s="4">
        <v>35</v>
      </c>
      <c r="E11" s="23">
        <f t="shared" si="0"/>
        <v>630</v>
      </c>
      <c r="F11" s="26">
        <f t="shared" si="1"/>
        <v>756</v>
      </c>
    </row>
    <row r="12" spans="1:16" x14ac:dyDescent="0.3">
      <c r="A12" s="10">
        <v>46272</v>
      </c>
      <c r="B12" s="3" t="s">
        <v>7</v>
      </c>
      <c r="C12" s="13">
        <v>23</v>
      </c>
      <c r="D12" s="4">
        <v>17</v>
      </c>
      <c r="E12" s="23">
        <f t="shared" si="0"/>
        <v>391</v>
      </c>
      <c r="F12" s="26">
        <f t="shared" si="1"/>
        <v>469.2</v>
      </c>
      <c r="I12" s="56" t="s">
        <v>21</v>
      </c>
      <c r="J12" s="57"/>
      <c r="K12" s="57" t="s">
        <v>22</v>
      </c>
      <c r="L12" s="57"/>
      <c r="M12" s="58" t="s">
        <v>23</v>
      </c>
    </row>
    <row r="13" spans="1:16" ht="15" thickBot="1" x14ac:dyDescent="0.35">
      <c r="A13" s="10">
        <v>46281</v>
      </c>
      <c r="B13" s="3" t="s">
        <v>8</v>
      </c>
      <c r="C13" s="13">
        <v>13</v>
      </c>
      <c r="D13" s="4">
        <v>18</v>
      </c>
      <c r="E13" s="23">
        <f t="shared" si="0"/>
        <v>234</v>
      </c>
      <c r="F13" s="26">
        <f t="shared" si="1"/>
        <v>280.8</v>
      </c>
      <c r="I13" s="51"/>
      <c r="J13" s="52"/>
      <c r="K13" s="53"/>
      <c r="L13" s="54"/>
      <c r="M13" s="55"/>
    </row>
    <row r="14" spans="1:16" x14ac:dyDescent="0.3">
      <c r="A14" s="10">
        <v>46283</v>
      </c>
      <c r="B14" s="3" t="s">
        <v>13</v>
      </c>
      <c r="C14" s="13">
        <v>22</v>
      </c>
      <c r="D14" s="4">
        <v>30</v>
      </c>
      <c r="E14" s="23">
        <f t="shared" si="0"/>
        <v>660</v>
      </c>
      <c r="F14" s="26">
        <f t="shared" si="1"/>
        <v>792</v>
      </c>
    </row>
    <row r="15" spans="1:16" x14ac:dyDescent="0.3">
      <c r="A15" s="10">
        <v>46281</v>
      </c>
      <c r="B15" s="3" t="s">
        <v>14</v>
      </c>
      <c r="C15" s="13">
        <v>43</v>
      </c>
      <c r="D15" s="4">
        <v>55</v>
      </c>
      <c r="E15" s="23">
        <f t="shared" si="0"/>
        <v>2365</v>
      </c>
      <c r="F15" s="26">
        <f t="shared" si="1"/>
        <v>2838</v>
      </c>
      <c r="I15" t="s">
        <v>24</v>
      </c>
    </row>
    <row r="16" spans="1:16" x14ac:dyDescent="0.3">
      <c r="A16" s="10">
        <v>46282</v>
      </c>
      <c r="B16" s="3" t="s">
        <v>15</v>
      </c>
      <c r="C16" s="13">
        <v>10</v>
      </c>
      <c r="D16" s="4">
        <v>15</v>
      </c>
      <c r="E16" s="23">
        <f t="shared" si="0"/>
        <v>150</v>
      </c>
      <c r="F16" s="26">
        <f t="shared" si="1"/>
        <v>180</v>
      </c>
      <c r="I16" t="s">
        <v>25</v>
      </c>
      <c r="J16" t="s">
        <v>26</v>
      </c>
    </row>
    <row r="17" spans="1:10" x14ac:dyDescent="0.3">
      <c r="A17" s="10"/>
      <c r="B17" s="3"/>
      <c r="C17" s="13"/>
      <c r="D17" s="4"/>
      <c r="E17" s="23" t="str">
        <f t="shared" si="0"/>
        <v/>
      </c>
      <c r="F17" s="26" t="str">
        <f t="shared" si="1"/>
        <v/>
      </c>
    </row>
    <row r="18" spans="1:10" x14ac:dyDescent="0.3">
      <c r="A18" s="10"/>
      <c r="B18" s="3"/>
      <c r="C18" s="13"/>
      <c r="D18" s="4"/>
      <c r="E18" s="23" t="str">
        <f t="shared" si="0"/>
        <v/>
      </c>
      <c r="F18" s="26" t="str">
        <f t="shared" si="1"/>
        <v/>
      </c>
      <c r="I18" t="s">
        <v>27</v>
      </c>
      <c r="J18" t="s">
        <v>28</v>
      </c>
    </row>
    <row r="19" spans="1:10" x14ac:dyDescent="0.3">
      <c r="A19" s="10"/>
      <c r="B19" s="3"/>
      <c r="C19" s="13"/>
      <c r="D19" s="4"/>
      <c r="E19" s="23" t="str">
        <f t="shared" si="0"/>
        <v/>
      </c>
      <c r="F19" s="26" t="str">
        <f t="shared" si="1"/>
        <v/>
      </c>
    </row>
    <row r="20" spans="1:10" x14ac:dyDescent="0.3">
      <c r="A20" s="10"/>
      <c r="B20" s="3"/>
      <c r="C20" s="13"/>
      <c r="D20" s="4"/>
      <c r="E20" s="23" t="str">
        <f t="shared" si="0"/>
        <v/>
      </c>
      <c r="F20" s="26" t="str">
        <f t="shared" si="1"/>
        <v/>
      </c>
      <c r="I20" t="s">
        <v>29</v>
      </c>
      <c r="J20" t="s">
        <v>30</v>
      </c>
    </row>
    <row r="21" spans="1:10" x14ac:dyDescent="0.3">
      <c r="A21" s="10"/>
      <c r="B21" s="3"/>
      <c r="C21" s="13"/>
      <c r="D21" s="4"/>
      <c r="E21" s="23" t="str">
        <f t="shared" si="0"/>
        <v/>
      </c>
      <c r="F21" s="26" t="str">
        <f t="shared" si="1"/>
        <v/>
      </c>
    </row>
    <row r="22" spans="1:10" x14ac:dyDescent="0.3">
      <c r="A22" s="10"/>
      <c r="B22" s="3"/>
      <c r="C22" s="13"/>
      <c r="D22" s="4"/>
      <c r="E22" s="23" t="str">
        <f t="shared" si="0"/>
        <v/>
      </c>
      <c r="F22" s="26" t="str">
        <f t="shared" si="1"/>
        <v/>
      </c>
    </row>
    <row r="23" spans="1:10" x14ac:dyDescent="0.3">
      <c r="A23" s="10"/>
      <c r="B23" s="3"/>
      <c r="C23" s="13"/>
      <c r="D23" s="4"/>
      <c r="E23" s="23" t="str">
        <f t="shared" si="0"/>
        <v/>
      </c>
      <c r="F23" s="26" t="str">
        <f t="shared" si="1"/>
        <v/>
      </c>
    </row>
    <row r="24" spans="1:10" x14ac:dyDescent="0.3">
      <c r="A24" s="10"/>
      <c r="B24" s="3"/>
      <c r="C24" s="13"/>
      <c r="D24" s="4"/>
      <c r="E24" s="23" t="str">
        <f t="shared" si="0"/>
        <v/>
      </c>
      <c r="F24" s="26" t="str">
        <f t="shared" si="1"/>
        <v/>
      </c>
    </row>
    <row r="25" spans="1:10" x14ac:dyDescent="0.3">
      <c r="A25" s="10"/>
      <c r="B25" s="3"/>
      <c r="C25" s="13"/>
      <c r="D25" s="4"/>
      <c r="E25" s="23" t="str">
        <f t="shared" si="0"/>
        <v/>
      </c>
      <c r="F25" s="26" t="str">
        <f t="shared" si="1"/>
        <v/>
      </c>
    </row>
    <row r="26" spans="1:10" x14ac:dyDescent="0.3">
      <c r="A26" s="10"/>
      <c r="B26" s="3"/>
      <c r="C26" s="13"/>
      <c r="D26" s="4"/>
      <c r="E26" s="23" t="str">
        <f t="shared" si="0"/>
        <v/>
      </c>
      <c r="F26" s="26" t="str">
        <f t="shared" si="1"/>
        <v/>
      </c>
    </row>
    <row r="27" spans="1:10" x14ac:dyDescent="0.3">
      <c r="A27" s="10"/>
      <c r="B27" s="3"/>
      <c r="C27" s="13"/>
      <c r="D27" s="4"/>
      <c r="E27" s="23" t="str">
        <f t="shared" si="0"/>
        <v/>
      </c>
      <c r="F27" s="26" t="str">
        <f t="shared" si="1"/>
        <v/>
      </c>
    </row>
    <row r="28" spans="1:10" x14ac:dyDescent="0.3">
      <c r="A28" s="10"/>
      <c r="B28" s="3"/>
      <c r="C28" s="13"/>
      <c r="D28" s="4"/>
      <c r="E28" s="23" t="str">
        <f t="shared" si="0"/>
        <v/>
      </c>
      <c r="F28" s="26" t="str">
        <f t="shared" si="1"/>
        <v/>
      </c>
    </row>
    <row r="29" spans="1:10" x14ac:dyDescent="0.3">
      <c r="A29" s="10"/>
      <c r="B29" s="3"/>
      <c r="C29" s="13"/>
      <c r="D29" s="4"/>
      <c r="E29" s="23" t="str">
        <f t="shared" si="0"/>
        <v/>
      </c>
      <c r="F29" s="26" t="str">
        <f t="shared" si="1"/>
        <v/>
      </c>
    </row>
    <row r="30" spans="1:10" ht="15" thickBot="1" x14ac:dyDescent="0.35">
      <c r="A30" s="11"/>
      <c r="B30" s="7"/>
      <c r="C30" s="14"/>
      <c r="D30" s="8"/>
      <c r="E30" s="24" t="str">
        <f t="shared" si="0"/>
        <v/>
      </c>
      <c r="F30" s="27" t="str">
        <f t="shared" si="1"/>
        <v/>
      </c>
    </row>
  </sheetData>
  <sheetProtection algorithmName="SHA-512" hashValue="YRUND+Yb6fX3dgX1ZWrWVCZQ5q/v9zUxbtx7w1GPVBJfishTJVnNQRFvd7Kg0Iuj8s8S5U7YJSzHjGRllglXwg==" saltValue="WFUcTK5ytP4eDNlLih/xkA==" spinCount="100000" sheet="1" objects="1" scenarios="1"/>
  <mergeCells count="20">
    <mergeCell ref="I12:J12"/>
    <mergeCell ref="I13:J13"/>
    <mergeCell ref="K12:L12"/>
    <mergeCell ref="K13:L13"/>
    <mergeCell ref="I9:J9"/>
    <mergeCell ref="I10:J10"/>
    <mergeCell ref="K3:L3"/>
    <mergeCell ref="K4:L4"/>
    <mergeCell ref="K5:L5"/>
    <mergeCell ref="K6:L6"/>
    <mergeCell ref="K7:L7"/>
    <mergeCell ref="K8:L8"/>
    <mergeCell ref="K9:L9"/>
    <mergeCell ref="K10:L10"/>
    <mergeCell ref="I3:J3"/>
    <mergeCell ref="I4:J4"/>
    <mergeCell ref="I5:J5"/>
    <mergeCell ref="I6:J6"/>
    <mergeCell ref="I7:J7"/>
    <mergeCell ref="I8:J8"/>
  </mergeCells>
  <dataValidations count="4">
    <dataValidation type="date" allowBlank="1" showInputMessage="1" showErrorMessage="1" sqref="A2:A30" xr:uid="{CAE3A338-1C14-4D3E-A136-2A9473A4AE04}">
      <formula1>46266</formula1>
      <formula2>MIN(TODAY()+1,"30/9/2026")</formula2>
    </dataValidation>
    <dataValidation type="decimal" operator="greaterThan" allowBlank="1" showInputMessage="1" showErrorMessage="1" sqref="D2:D30" xr:uid="{52D3697C-FD88-4D20-9302-22450BB2ED2D}">
      <formula1>0</formula1>
    </dataValidation>
    <dataValidation type="whole" operator="greaterThan" allowBlank="1" showInputMessage="1" showErrorMessage="1" sqref="C2:C30" xr:uid="{08CDF945-CCE8-4674-AB83-DEB7EBE8FEBA}">
      <formula1>0</formula1>
    </dataValidation>
    <dataValidation type="list" allowBlank="1" showInputMessage="1" showErrorMessage="1" sqref="B2:B30" xr:uid="{813885AC-5C18-4179-B38B-0B4DF12C834E}">
      <formula1>$H$4:$H$8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zoomScaleNormal="100" workbookViewId="0">
      <pane ySplit="1" topLeftCell="A2" activePane="bottomLeft" state="frozen"/>
      <selection pane="bottomLeft" activeCell="A17" sqref="A17"/>
    </sheetView>
  </sheetViews>
  <sheetFormatPr baseColWidth="10" defaultColWidth="8.5546875" defaultRowHeight="14.4" x14ac:dyDescent="0.3"/>
  <cols>
    <col min="1" max="1" width="11.88671875" customWidth="1"/>
    <col min="2" max="2" width="11.44140625" customWidth="1"/>
    <col min="4" max="4" width="14.109375" customWidth="1"/>
    <col min="5" max="5" width="11.44140625" customWidth="1"/>
    <col min="6" max="6" width="15.44140625" customWidth="1"/>
    <col min="8" max="8" width="13" customWidth="1"/>
    <col min="11" max="11" width="13.6640625" customWidth="1"/>
    <col min="12" max="12" width="13.33203125" customWidth="1"/>
    <col min="14" max="14" width="10.44140625" bestFit="1" customWidth="1"/>
  </cols>
  <sheetData>
    <row r="1" spans="1:14" ht="20.25" customHeight="1" thickBot="1" x14ac:dyDescent="0.35">
      <c r="A1" s="16" t="s">
        <v>0</v>
      </c>
      <c r="B1" s="17" t="s">
        <v>1</v>
      </c>
      <c r="C1" s="18" t="s">
        <v>2</v>
      </c>
      <c r="D1" s="19" t="s">
        <v>3</v>
      </c>
      <c r="E1" s="20" t="s">
        <v>4</v>
      </c>
      <c r="F1" s="21" t="s">
        <v>5</v>
      </c>
      <c r="H1" t="s">
        <v>6</v>
      </c>
      <c r="I1" s="1">
        <v>0.2</v>
      </c>
      <c r="K1" t="s">
        <v>16</v>
      </c>
      <c r="L1" s="2">
        <f ca="1">MIN(TODAY()+1,"30/9/2025")</f>
        <v>45930</v>
      </c>
      <c r="N1" s="2" t="s">
        <v>18</v>
      </c>
    </row>
    <row r="2" spans="1:14" ht="15" thickBot="1" x14ac:dyDescent="0.35">
      <c r="A2" s="9">
        <v>45901</v>
      </c>
      <c r="B2" s="5" t="s">
        <v>7</v>
      </c>
      <c r="C2" s="12">
        <v>5</v>
      </c>
      <c r="D2" s="6">
        <v>20</v>
      </c>
      <c r="E2" s="59">
        <f>IF(OR(ISBLANK(C2),ISBLANK(D2)), "", C2*D2)</f>
        <v>100</v>
      </c>
      <c r="F2" s="60">
        <f>IF(OR(ISBLANK(C2),ISBLANK(D2)), "", E2+E2*$I$1)</f>
        <v>120</v>
      </c>
    </row>
    <row r="3" spans="1:14" ht="15" thickBot="1" x14ac:dyDescent="0.35">
      <c r="A3" s="10">
        <v>45903</v>
      </c>
      <c r="B3" s="3" t="s">
        <v>8</v>
      </c>
      <c r="C3" s="13">
        <v>8</v>
      </c>
      <c r="D3" s="4">
        <v>10</v>
      </c>
      <c r="E3" s="61">
        <f>IF(OR(ISBLANK(C3),ISBLANK(D3)), "", C3*D3)</f>
        <v>80</v>
      </c>
      <c r="F3" s="62">
        <f>IF(OR(ISBLANK(C3),ISBLANK(D3)), "", E3+E3*$I$1)</f>
        <v>96</v>
      </c>
      <c r="H3" s="30" t="s">
        <v>9</v>
      </c>
      <c r="I3" s="38" t="s">
        <v>10</v>
      </c>
      <c r="J3" s="38"/>
      <c r="K3" s="15" t="s">
        <v>11</v>
      </c>
      <c r="L3" s="31" t="s">
        <v>12</v>
      </c>
    </row>
    <row r="4" spans="1:14" x14ac:dyDescent="0.3">
      <c r="A4" s="10">
        <v>45905</v>
      </c>
      <c r="B4" s="3" t="s">
        <v>7</v>
      </c>
      <c r="C4" s="13">
        <v>21</v>
      </c>
      <c r="D4" s="4">
        <v>30</v>
      </c>
      <c r="E4" s="61">
        <f>IF(OR(ISBLANK(C4),ISBLANK(D4)), "", C4*D4)</f>
        <v>630</v>
      </c>
      <c r="F4" s="62">
        <f>IF(OR(ISBLANK(C4),ISBLANK(D4)), "", E4+E4*$I$1)</f>
        <v>756</v>
      </c>
      <c r="H4" s="29" t="str" cm="1">
        <f t="array" ref="H4:H7">_xlfn.UNIQUE(B2:B11)</f>
        <v>Chaussures</v>
      </c>
      <c r="I4" s="35">
        <f>SUMIF(B$2:B$30, H4, C$2:C$30)</f>
        <v>67</v>
      </c>
      <c r="J4" s="35"/>
      <c r="K4" s="32">
        <f>SUMIF($B$2:$B$30,$H4,E$2:E$30)</f>
        <v>1922</v>
      </c>
      <c r="L4" s="28">
        <f>SUMIF($B$2:$B$30,$H4,F$2:F$30)</f>
        <v>2306.4</v>
      </c>
    </row>
    <row r="5" spans="1:14" x14ac:dyDescent="0.3">
      <c r="A5" s="10">
        <v>45907</v>
      </c>
      <c r="B5" s="3" t="s">
        <v>13</v>
      </c>
      <c r="C5" s="13">
        <v>44</v>
      </c>
      <c r="D5" s="4">
        <v>50</v>
      </c>
      <c r="E5" s="61">
        <f>IF(OR(ISBLANK(C5),ISBLANK(D5)), "", C5*D5)</f>
        <v>2200</v>
      </c>
      <c r="F5" s="62">
        <f>IF(OR(ISBLANK(C5),ISBLANK(D5)), "", E5+E5*$I$1)</f>
        <v>2640</v>
      </c>
      <c r="H5" s="29" t="str">
        <v>Hauts</v>
      </c>
      <c r="I5" s="35">
        <f t="shared" ref="I5:I8" si="0">SUMIF(B$2:B$30, H5, C$2:C$30)</f>
        <v>71</v>
      </c>
      <c r="J5" s="35"/>
      <c r="K5" s="32">
        <f t="shared" ref="K5:K8" si="1">SUMIF($B$2:$B$30,$H5,E$2:E$30)</f>
        <v>1064</v>
      </c>
      <c r="L5" s="28">
        <f t="shared" ref="L5:L8" si="2">SUMIF($B$2:$B$30,$H5,F$2:F$30)</f>
        <v>1276.8</v>
      </c>
    </row>
    <row r="6" spans="1:14" x14ac:dyDescent="0.3">
      <c r="A6" s="10">
        <v>45908</v>
      </c>
      <c r="B6" s="3" t="s">
        <v>14</v>
      </c>
      <c r="C6" s="13">
        <v>21</v>
      </c>
      <c r="D6" s="4">
        <v>15</v>
      </c>
      <c r="E6" s="61">
        <f>IF(OR(ISBLANK(C6),ISBLANK(D6)), "", C6*D6)</f>
        <v>315</v>
      </c>
      <c r="F6" s="62">
        <f>IF(OR(ISBLANK(C6),ISBLANK(D6)), "", E6+E6*$I$1)</f>
        <v>378</v>
      </c>
      <c r="H6" s="29" t="str">
        <v>Manteaux</v>
      </c>
      <c r="I6" s="35">
        <f>SUMIF(B$2:B$30, H6, C$2:C$30)</f>
        <v>96</v>
      </c>
      <c r="J6" s="35"/>
      <c r="K6" s="32">
        <f t="shared" si="1"/>
        <v>3740</v>
      </c>
      <c r="L6" s="28">
        <f>SUMIF($B$2:$B$30,$H6,F$2:F$30)</f>
        <v>4488</v>
      </c>
    </row>
    <row r="7" spans="1:14" x14ac:dyDescent="0.3">
      <c r="A7" s="10">
        <v>45911</v>
      </c>
      <c r="B7" s="3" t="s">
        <v>13</v>
      </c>
      <c r="C7" s="13">
        <v>22</v>
      </c>
      <c r="D7" s="4">
        <v>25</v>
      </c>
      <c r="E7" s="61">
        <f>IF(OR(ISBLANK(C7),ISBLANK(D7)), "", C7*D7)</f>
        <v>550</v>
      </c>
      <c r="F7" s="62">
        <f>IF(OR(ISBLANK(C7),ISBLANK(D7)), "", E7+E7*$I$1)</f>
        <v>660</v>
      </c>
      <c r="H7" s="29" t="str">
        <v>Pantalons</v>
      </c>
      <c r="I7" s="35">
        <f t="shared" si="0"/>
        <v>54</v>
      </c>
      <c r="J7" s="35"/>
      <c r="K7" s="32">
        <f t="shared" si="1"/>
        <v>2130</v>
      </c>
      <c r="L7" s="28">
        <f t="shared" si="2"/>
        <v>2556</v>
      </c>
    </row>
    <row r="8" spans="1:14" x14ac:dyDescent="0.3">
      <c r="A8" s="10">
        <v>45915</v>
      </c>
      <c r="B8" s="3" t="s">
        <v>7</v>
      </c>
      <c r="C8" s="13">
        <v>17</v>
      </c>
      <c r="D8" s="4">
        <v>40</v>
      </c>
      <c r="E8" s="61">
        <f>IF(OR(ISBLANK(C8),ISBLANK(D8)), "", C8*D8)</f>
        <v>680</v>
      </c>
      <c r="F8" s="62">
        <f>IF(OR(ISBLANK(C8),ISBLANK(D8)), "", E8+E8*$I$1)</f>
        <v>816</v>
      </c>
      <c r="H8" s="29" t="s">
        <v>15</v>
      </c>
      <c r="I8" s="35">
        <f t="shared" si="0"/>
        <v>45</v>
      </c>
      <c r="J8" s="35"/>
      <c r="K8" s="32">
        <f t="shared" si="1"/>
        <v>675</v>
      </c>
      <c r="L8" s="28">
        <f t="shared" si="2"/>
        <v>810</v>
      </c>
    </row>
    <row r="9" spans="1:14" ht="15" thickBot="1" x14ac:dyDescent="0.35">
      <c r="A9" s="10">
        <v>45916</v>
      </c>
      <c r="B9" s="3" t="s">
        <v>7</v>
      </c>
      <c r="C9" s="13">
        <v>13</v>
      </c>
      <c r="D9" s="4">
        <v>25</v>
      </c>
      <c r="E9" s="61">
        <f>IF(OR(ISBLANK(C9),ISBLANK(D9)), "", C9*D9)</f>
        <v>325</v>
      </c>
      <c r="F9" s="62">
        <f>IF(OR(ISBLANK(C9),ISBLANK(D9)), "", E9+E9*$I$1)</f>
        <v>390</v>
      </c>
      <c r="H9" s="29"/>
      <c r="I9" s="37"/>
      <c r="J9" s="37"/>
      <c r="K9" s="32"/>
      <c r="L9" s="28"/>
    </row>
    <row r="10" spans="1:14" ht="15" thickBot="1" x14ac:dyDescent="0.35">
      <c r="A10" s="10">
        <v>45916</v>
      </c>
      <c r="B10" s="3" t="s">
        <v>8</v>
      </c>
      <c r="C10" s="13">
        <v>50</v>
      </c>
      <c r="D10" s="4">
        <v>15</v>
      </c>
      <c r="E10" s="61">
        <f>IF(OR(ISBLANK(C10),ISBLANK(D10)), "", C10*D10)</f>
        <v>750</v>
      </c>
      <c r="F10" s="62">
        <f>IF(OR(ISBLANK(C10),ISBLANK(D10)), "", E10+E10*$I$1)</f>
        <v>900</v>
      </c>
      <c r="H10" s="30" t="s">
        <v>17</v>
      </c>
      <c r="I10" s="36">
        <f>SUM(I4:J8)</f>
        <v>333</v>
      </c>
      <c r="J10" s="36"/>
      <c r="K10" s="33">
        <f>SUM(K4:K8)</f>
        <v>9531</v>
      </c>
      <c r="L10" s="34">
        <f>SUM(L4:L8)</f>
        <v>11437.2</v>
      </c>
    </row>
    <row r="11" spans="1:14" x14ac:dyDescent="0.3">
      <c r="A11" s="10">
        <v>45917</v>
      </c>
      <c r="B11" s="3" t="s">
        <v>13</v>
      </c>
      <c r="C11" s="13">
        <v>18</v>
      </c>
      <c r="D11" s="4">
        <v>35</v>
      </c>
      <c r="E11" s="61">
        <f>IF(OR(ISBLANK(C11),ISBLANK(D11)), "", C11*D11)</f>
        <v>630</v>
      </c>
      <c r="F11" s="62">
        <f>IF(OR(ISBLANK(C11),ISBLANK(D11)), "", E11+E11*$I$1)</f>
        <v>756</v>
      </c>
    </row>
    <row r="12" spans="1:14" x14ac:dyDescent="0.3">
      <c r="A12" s="10">
        <v>45918</v>
      </c>
      <c r="B12" s="3" t="s">
        <v>7</v>
      </c>
      <c r="C12" s="13">
        <v>11</v>
      </c>
      <c r="D12" s="4">
        <v>17</v>
      </c>
      <c r="E12" s="61">
        <f>IF(OR(ISBLANK(C12),ISBLANK(D12)), "", C12*D12)</f>
        <v>187</v>
      </c>
      <c r="F12" s="62">
        <f>IF(OR(ISBLANK(C12),ISBLANK(D12)), "", E12+E12*$I$1)</f>
        <v>224.4</v>
      </c>
    </row>
    <row r="13" spans="1:14" x14ac:dyDescent="0.3">
      <c r="A13" s="10">
        <v>45921</v>
      </c>
      <c r="B13" s="3" t="s">
        <v>8</v>
      </c>
      <c r="C13" s="13">
        <v>13</v>
      </c>
      <c r="D13" s="4">
        <v>18</v>
      </c>
      <c r="E13" s="61">
        <f>IF(OR(ISBLANK(C13),ISBLANK(D13)), "", C13*D13)</f>
        <v>234</v>
      </c>
      <c r="F13" s="62">
        <f>IF(OR(ISBLANK(C13),ISBLANK(D13)), "", E13+E13*$I$1)</f>
        <v>280.8</v>
      </c>
    </row>
    <row r="14" spans="1:14" x14ac:dyDescent="0.3">
      <c r="A14" s="10">
        <v>45924</v>
      </c>
      <c r="B14" s="3" t="s">
        <v>13</v>
      </c>
      <c r="C14" s="13">
        <v>12</v>
      </c>
      <c r="D14" s="4">
        <v>30</v>
      </c>
      <c r="E14" s="61">
        <f>IF(OR(ISBLANK(C14),ISBLANK(D14)), "", C14*D14)</f>
        <v>360</v>
      </c>
      <c r="F14" s="62">
        <f>IF(OR(ISBLANK(C14),ISBLANK(D14)), "", E14+E14*$I$1)</f>
        <v>432</v>
      </c>
    </row>
    <row r="15" spans="1:14" x14ac:dyDescent="0.3">
      <c r="A15" s="10">
        <v>45930</v>
      </c>
      <c r="B15" s="3" t="s">
        <v>14</v>
      </c>
      <c r="C15" s="13">
        <v>33</v>
      </c>
      <c r="D15" s="4">
        <v>55</v>
      </c>
      <c r="E15" s="61">
        <f>IF(OR(ISBLANK(C15),ISBLANK(D15)), "", C15*D15)</f>
        <v>1815</v>
      </c>
      <c r="F15" s="62">
        <f>IF(OR(ISBLANK(C15),ISBLANK(D15)), "", E15+E15*$I$1)</f>
        <v>2178</v>
      </c>
    </row>
    <row r="16" spans="1:14" x14ac:dyDescent="0.3">
      <c r="A16" s="10">
        <v>45930</v>
      </c>
      <c r="B16" s="3" t="s">
        <v>15</v>
      </c>
      <c r="C16" s="13">
        <v>45</v>
      </c>
      <c r="D16" s="4">
        <v>15</v>
      </c>
      <c r="E16" s="61">
        <f>IF(OR(ISBLANK(C16),ISBLANK(D16)), "", C16*D16)</f>
        <v>675</v>
      </c>
      <c r="F16" s="62">
        <f>IF(OR(ISBLANK(C16),ISBLANK(D16)), "", E16+E16*$I$1)</f>
        <v>810</v>
      </c>
    </row>
    <row r="17" spans="1:6" x14ac:dyDescent="0.3">
      <c r="A17" s="10"/>
      <c r="B17" s="3"/>
      <c r="C17" s="13"/>
      <c r="D17" s="4"/>
      <c r="E17" s="61" t="str">
        <f>IF(OR(ISBLANK(C17),ISBLANK(D17)), "", C17*D17)</f>
        <v/>
      </c>
      <c r="F17" s="62" t="str">
        <f>IF(OR(ISBLANK(C17),ISBLANK(D17)), "", E17+E17*$I$1)</f>
        <v/>
      </c>
    </row>
    <row r="18" spans="1:6" x14ac:dyDescent="0.3">
      <c r="A18" s="10"/>
      <c r="B18" s="3"/>
      <c r="C18" s="13"/>
      <c r="D18" s="4"/>
      <c r="E18" s="61" t="str">
        <f>IF(OR(ISBLANK(C18),ISBLANK(D18)), "", C18*D18)</f>
        <v/>
      </c>
      <c r="F18" s="62" t="str">
        <f>IF(OR(ISBLANK(C18),ISBLANK(D18)), "", E18+E18*$I$1)</f>
        <v/>
      </c>
    </row>
    <row r="19" spans="1:6" x14ac:dyDescent="0.3">
      <c r="A19" s="10"/>
      <c r="B19" s="3"/>
      <c r="C19" s="13"/>
      <c r="D19" s="4"/>
      <c r="E19" s="61" t="str">
        <f>IF(OR(ISBLANK(C19),ISBLANK(D19)), "", C19*D19)</f>
        <v/>
      </c>
      <c r="F19" s="62" t="str">
        <f>IF(OR(ISBLANK(C19),ISBLANK(D19)), "", E19+E19*$I$1)</f>
        <v/>
      </c>
    </row>
    <row r="20" spans="1:6" x14ac:dyDescent="0.3">
      <c r="A20" s="10"/>
      <c r="B20" s="3"/>
      <c r="C20" s="13"/>
      <c r="D20" s="4"/>
      <c r="E20" s="61" t="str">
        <f>IF(OR(ISBLANK(C20),ISBLANK(D20)), "", C20*D20)</f>
        <v/>
      </c>
      <c r="F20" s="62" t="str">
        <f>IF(OR(ISBLANK(C20),ISBLANK(D20)), "", E20+E20*$I$1)</f>
        <v/>
      </c>
    </row>
    <row r="21" spans="1:6" x14ac:dyDescent="0.3">
      <c r="A21" s="10"/>
      <c r="B21" s="3"/>
      <c r="C21" s="13"/>
      <c r="D21" s="4"/>
      <c r="E21" s="61" t="str">
        <f>IF(OR(ISBLANK(C21),ISBLANK(D21)), "", C21*D21)</f>
        <v/>
      </c>
      <c r="F21" s="62" t="str">
        <f>IF(OR(ISBLANK(C21),ISBLANK(D21)), "", E21+E21*$I$1)</f>
        <v/>
      </c>
    </row>
    <row r="22" spans="1:6" x14ac:dyDescent="0.3">
      <c r="A22" s="10"/>
      <c r="B22" s="3"/>
      <c r="C22" s="13"/>
      <c r="D22" s="4"/>
      <c r="E22" s="61" t="str">
        <f>IF(OR(ISBLANK(C22),ISBLANK(D22)), "", C22*D22)</f>
        <v/>
      </c>
      <c r="F22" s="62" t="str">
        <f>IF(OR(ISBLANK(C22),ISBLANK(D22)), "", E22+E22*$I$1)</f>
        <v/>
      </c>
    </row>
    <row r="23" spans="1:6" x14ac:dyDescent="0.3">
      <c r="A23" s="10"/>
      <c r="B23" s="3"/>
      <c r="C23" s="13"/>
      <c r="D23" s="4"/>
      <c r="E23" s="61" t="str">
        <f>IF(OR(ISBLANK(C23),ISBLANK(D23)), "", C23*D23)</f>
        <v/>
      </c>
      <c r="F23" s="62" t="str">
        <f>IF(OR(ISBLANK(C23),ISBLANK(D23)), "", E23+E23*$I$1)</f>
        <v/>
      </c>
    </row>
    <row r="24" spans="1:6" x14ac:dyDescent="0.3">
      <c r="A24" s="10"/>
      <c r="B24" s="3"/>
      <c r="C24" s="13"/>
      <c r="D24" s="4"/>
      <c r="E24" s="61" t="str">
        <f>IF(OR(ISBLANK(C24),ISBLANK(D24)), "", C24*D24)</f>
        <v/>
      </c>
      <c r="F24" s="62" t="str">
        <f>IF(OR(ISBLANK(C24),ISBLANK(D24)), "", E24+E24*$I$1)</f>
        <v/>
      </c>
    </row>
    <row r="25" spans="1:6" x14ac:dyDescent="0.3">
      <c r="A25" s="10"/>
      <c r="B25" s="3"/>
      <c r="C25" s="13"/>
      <c r="D25" s="4"/>
      <c r="E25" s="61" t="str">
        <f>IF(OR(ISBLANK(C25),ISBLANK(D25)), "", C25*D25)</f>
        <v/>
      </c>
      <c r="F25" s="62" t="str">
        <f>IF(OR(ISBLANK(C25),ISBLANK(D25)), "", E25+E25*$I$1)</f>
        <v/>
      </c>
    </row>
    <row r="26" spans="1:6" x14ac:dyDescent="0.3">
      <c r="A26" s="10"/>
      <c r="B26" s="3"/>
      <c r="C26" s="13"/>
      <c r="D26" s="4"/>
      <c r="E26" s="61" t="str">
        <f>IF(OR(ISBLANK(C26),ISBLANK(D26)), "", C26*D26)</f>
        <v/>
      </c>
      <c r="F26" s="62" t="str">
        <f>IF(OR(ISBLANK(C26),ISBLANK(D26)), "", E26+E26*$I$1)</f>
        <v/>
      </c>
    </row>
    <row r="27" spans="1:6" x14ac:dyDescent="0.3">
      <c r="A27" s="10"/>
      <c r="B27" s="3"/>
      <c r="C27" s="13"/>
      <c r="D27" s="4"/>
      <c r="E27" s="61" t="str">
        <f>IF(OR(ISBLANK(C27),ISBLANK(D27)), "", C27*D27)</f>
        <v/>
      </c>
      <c r="F27" s="62" t="str">
        <f>IF(OR(ISBLANK(C27),ISBLANK(D27)), "", E27+E27*$I$1)</f>
        <v/>
      </c>
    </row>
    <row r="28" spans="1:6" x14ac:dyDescent="0.3">
      <c r="A28" s="10"/>
      <c r="B28" s="3"/>
      <c r="C28" s="13"/>
      <c r="D28" s="4"/>
      <c r="E28" s="61" t="str">
        <f>IF(OR(ISBLANK(C28),ISBLANK(D28)), "", C28*D28)</f>
        <v/>
      </c>
      <c r="F28" s="62" t="str">
        <f>IF(OR(ISBLANK(C28),ISBLANK(D28)), "", E28+E28*$I$1)</f>
        <v/>
      </c>
    </row>
    <row r="29" spans="1:6" x14ac:dyDescent="0.3">
      <c r="A29" s="10"/>
      <c r="B29" s="3"/>
      <c r="C29" s="13"/>
      <c r="D29" s="4"/>
      <c r="E29" s="61" t="str">
        <f>IF(OR(ISBLANK(C29),ISBLANK(D29)), "", C29*D29)</f>
        <v/>
      </c>
      <c r="F29" s="62" t="str">
        <f>IF(OR(ISBLANK(C29),ISBLANK(D29)), "", E29+E29*$I$1)</f>
        <v/>
      </c>
    </row>
    <row r="30" spans="1:6" ht="15" thickBot="1" x14ac:dyDescent="0.35">
      <c r="A30" s="11"/>
      <c r="B30" s="7"/>
      <c r="C30" s="14"/>
      <c r="D30" s="8"/>
      <c r="E30" s="63" t="str">
        <f>IF(OR(ISBLANK(C30),ISBLANK(D30)), "", C30*D30)</f>
        <v/>
      </c>
      <c r="F30" s="64" t="str">
        <f>IF(OR(ISBLANK(C30),ISBLANK(D30)), "", E30+E30*$I$1)</f>
        <v/>
      </c>
    </row>
  </sheetData>
  <sheetProtection algorithmName="SHA-512" hashValue="Xe5/SPyCACT8sMoL0g4AUlBdn0X58j/p+uddZ3XxP6J/NM6xxZnKCJLOvD626QTBaOT7pt9nF/h2hzD4vt/2hg==" saltValue="6LntbfM6P4TudFiJPS5ikA==" spinCount="100000" sheet="1" objects="1" scenarios="1"/>
  <sortState xmlns:xlrd2="http://schemas.microsoft.com/office/spreadsheetml/2017/richdata2" ref="A2:A16">
    <sortCondition ref="A2:A16"/>
  </sortState>
  <mergeCells count="8">
    <mergeCell ref="I8:J8"/>
    <mergeCell ref="I10:J10"/>
    <mergeCell ref="I9:J9"/>
    <mergeCell ref="I3:J3"/>
    <mergeCell ref="I4:J4"/>
    <mergeCell ref="I5:J5"/>
    <mergeCell ref="I6:J6"/>
    <mergeCell ref="I7:J7"/>
  </mergeCells>
  <dataValidations count="4">
    <dataValidation type="list" allowBlank="1" showInputMessage="1" showErrorMessage="1" sqref="B2:B30" xr:uid="{6570C744-13A1-459A-81FC-D184183F7760}">
      <formula1>$H$4:$H$8</formula1>
    </dataValidation>
    <dataValidation type="whole" operator="greaterThan" allowBlank="1" showInputMessage="1" showErrorMessage="1" sqref="C2:C30" xr:uid="{81FA21AE-CFEB-4187-8465-1C608C458812}">
      <formula1>0</formula1>
    </dataValidation>
    <dataValidation type="decimal" operator="greaterThan" allowBlank="1" showInputMessage="1" showErrorMessage="1" sqref="D2:D30" xr:uid="{B1513452-21F1-4E98-8A17-93EBAC01BD4F}">
      <formula1>0</formula1>
    </dataValidation>
    <dataValidation type="date" allowBlank="1" showInputMessage="1" showErrorMessage="1" sqref="A2:A30" xr:uid="{694A06D5-99D4-42E5-B48E-218AE46C1CCB}">
      <formula1>45901</formula1>
      <formula2>MIN(TODAY()+1,"30/9/2025")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2026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Benjamin Pruvost</cp:lastModifiedBy>
  <cp:revision>2</cp:revision>
  <dcterms:created xsi:type="dcterms:W3CDTF">2025-09-02T09:34:09Z</dcterms:created>
  <dcterms:modified xsi:type="dcterms:W3CDTF">2026-09-26T14:57:28Z</dcterms:modified>
  <dc:language>fr-FR</dc:language>
</cp:coreProperties>
</file>